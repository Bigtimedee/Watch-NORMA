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Conservative" sheetId="3" state="visible" r:id="rId5"/>
    <sheet name="Base Case" sheetId="4" state="visible" r:id="rId6"/>
    <sheet name="Aggressiv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<sst xmlns="http://schemas.openxmlformats.org/spreadsheetml/2006/main" count="139" uniqueCount="76">
  <si>
    <t xml:space="preserve">NORMA Revenue Model — Month 6 Summary</t>
  </si>
  <si>
    <t xml:space="preserve">Conservative</t>
  </si>
  <si>
    <t xml:space="preserve">Base Case</t>
  </si>
  <si>
    <t xml:space="preserve">Aggressive</t>
  </si>
  <si>
    <t xml:space="preserve">Month 6 DAU</t>
  </si>
  <si>
    <t xml:space="preserve">Month 6 MRR</t>
  </si>
  <si>
    <t xml:space="preserve">Month 6 ARR Run Rate</t>
  </si>
  <si>
    <t xml:space="preserve">Month 6 Net Profit</t>
  </si>
  <si>
    <t xml:space="preserve">Cumulative Profit (6mo)</t>
  </si>
  <si>
    <t xml:space="preserve">Month 6 Margin</t>
  </si>
  <si>
    <t xml:space="preserve">$10K MRR Achieved?</t>
  </si>
  <si>
    <t xml:space="preserve">Target: $10,000 MRR within 30 days</t>
  </si>
  <si>
    <t xml:space="preserve">Adjust blue inputs on the Assumptions tab to model scenarios.</t>
  </si>
  <si>
    <t xml:space="preserve">NORMA Revenue Model — Key Assumptions</t>
  </si>
  <si>
    <t xml:space="preserve">All blue values are editable inputs. Black values are calculated.</t>
  </si>
  <si>
    <t xml:space="preserve">USER GROWTH</t>
  </si>
  <si>
    <t xml:space="preserve">Month 1 DAU</t>
  </si>
  <si>
    <t xml:space="preserve">Starting daily active users</t>
  </si>
  <si>
    <t xml:space="preserve">Monthly DAU Growth Rate</t>
  </si>
  <si>
    <t xml:space="preserve">Month-over-month growth</t>
  </si>
  <si>
    <t xml:space="preserve">Sessions per User per Day</t>
  </si>
  <si>
    <t xml:space="preserve">App opens per DAU</t>
  </si>
  <si>
    <t xml:space="preserve">Moments per Session</t>
  </si>
  <si>
    <t xml:space="preserve">Ad-eligible moments per session</t>
  </si>
  <si>
    <t xml:space="preserve">AD MONETIZATION</t>
  </si>
  <si>
    <t xml:space="preserve">Fill Rate</t>
  </si>
  <si>
    <t xml:space="preserve">% of moments with a winning bid</t>
  </si>
  <si>
    <t xml:space="preserve">Avg Clearing Price (CPM equiv)</t>
  </si>
  <si>
    <t xml:space="preserve">Second-price clearing per impression</t>
  </si>
  <si>
    <t xml:space="preserve">Avg CTR</t>
  </si>
  <si>
    <t xml:space="preserve">Click-through rate on ad notifications</t>
  </si>
  <si>
    <t xml:space="preserve">Max Ads per User per Day</t>
  </si>
  <si>
    <t xml:space="preserve">Fatigue cap (fixed)</t>
  </si>
  <si>
    <t xml:space="preserve">MONTHLY COSTS</t>
  </si>
  <si>
    <t xml:space="preserve">Supabase (Pro)</t>
  </si>
  <si>
    <t xml:space="preserve">Database + Edge Functions</t>
  </si>
  <si>
    <t xml:space="preserve">Sportradar API</t>
  </si>
  <si>
    <t xml:space="preserve">PBP + summary data</t>
  </si>
  <si>
    <t xml:space="preserve">SportsDataIO</t>
  </si>
  <si>
    <t xml:space="preserve">Schedule data</t>
  </si>
  <si>
    <t xml:space="preserve">The Odds API</t>
  </si>
  <si>
    <t xml:space="preserve">Odds data</t>
  </si>
  <si>
    <t xml:space="preserve">Apple Developer</t>
  </si>
  <si>
    <t xml:space="preserve">$99/yr prorated</t>
  </si>
  <si>
    <t xml:space="preserve">Domain + Hosting</t>
  </si>
  <si>
    <t xml:space="preserve">Vercel + domain</t>
  </si>
  <si>
    <t xml:space="preserve">Marketing Spend</t>
  </si>
  <si>
    <t xml:space="preserve">Paid acquisition budget</t>
  </si>
  <si>
    <t xml:space="preserve">Total Monthly Costs</t>
  </si>
  <si>
    <t xml:space="preserve">NORMA — Conservative Scenario (6-Month Projection)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</si>
  <si>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</si>
  <si>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</si>
  <si>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</si>
  <si>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</si>
  <si>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</si>
  <si>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</si>
  <si>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USER METRICS</t>
  </si>
  <si>
    <t xml:space="preserve">Daily Active Users (DAU)</t>
  </si>
  <si>
    <t xml:space="preserve">Total Daily Sessions</t>
  </si>
  <si>
    <t xml:space="preserve">Total Daily Ad Moments</t>
  </si>
  <si>
    <t xml:space="preserve">AD REVENUE</t>
  </si>
  <si>
    <t xml:space="preserve">Filled Impressions / Day</t>
  </si>
  <si>
    <t xml:space="preserve">Avg Clearing Price</t>
  </si>
  <si>
    <t xml:space="preserve">Daily Ad Revenue</t>
  </si>
  <si>
    <t xml:space="preserve">Monthly Ad Revenue (MRR)</t>
  </si>
  <si>
    <t xml:space="preserve">COSTS</t>
  </si>
  <si>
    <t xml:space="preserve">BOTTOM LINE</t>
  </si>
  <si>
    <t xml:space="preserve">Net Monthly Profit / (Loss)</t>
  </si>
  <si>
    <t xml:space="preserve">Cumulative Profit / (Loss)</t>
  </si>
  <si>
    <t xml:space="preserve">Margin %</t>
  </si>
  <si>
    <t xml:space="preserve">KEY MILESTONES</t>
  </si>
  <si>
    <t xml:space="preserve">$10K MRR Target Hit?</t>
  </si>
  <si>
    <t xml:space="preserve">ARR Run Rate</t>
  </si>
  <si>
    <t xml:space="preserve">Monthly Impressions</t>
  </si>
  <si>
    <t xml:space="preserve">NORMA — Base Case Scenario (6-Month Projection)</t>
  </si>
  <si>
    <t xml:space="preserve">NORMA — Aggressive Scenario (6-Month Projection)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</si>
</sst>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\$#,##0;&quot;($&quot;#,##0\);\-"/>
    <numFmt numFmtId="168" formatCode="0.0%"/>
    <numFmt numFmtId="169" formatCode="0.0"/>
    <numFmt numFmtId="170" formatCode="\$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F97316"/>
      <name val="Cambria"/>
      <family val="0"/>
      <charset val="1"/>
    </font>
    <font>
      <i val="true"/>
      <sz val="9"/>
      <color rgb="FF94A3B8"/>
      <name val="Cambria"/>
      <family val="0"/>
      <charset val="1"/>
    </font>
    <font>
      <b val="true"/>
      <sz val="11"/>
      <color rgb="FF0F172A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3"/>
      <color rgb="FF0F172A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EF3C7"/>
        <bgColor rgb="FFFFFF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8FAFC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97316"/>
      <rgbColor rgb="FF666699"/>
      <rgbColor rgb="FF94A3B8"/>
      <rgbColor rgb="FF003366"/>
      <rgbColor rgb="FF22C55E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3" t="s">
        <v>3</v>
      </c>
    </row>
    <row r="4" customFormat="false" ht="15" hidden="false" customHeight="false" outlineLevel="0" collapsed="false">
      <c r="A4" s="4" t="s">
        <v>4</v>
      </c>
      <c r="B4" s="5" t="n">
        <f aca="false">Conservative!G5</f>
        <v>404</v>
      </c>
      <c r="C4" s="5" t="n">
        <f aca="false">'Base Case'!G5</f>
        <v>1525</v>
      </c>
      <c r="D4" s="5" t="n">
        <f aca="false">Aggressive!G5</f>
        <v>6454</v>
      </c>
    </row>
    <row r="5" customFormat="false" ht="15" hidden="false" customHeight="false" outlineLevel="0" collapsed="false">
      <c r="A5" s="6" t="s">
        <v>5</v>
      </c>
      <c r="B5" s="7" t="n">
        <f aca="false">Conservative!G16</f>
        <v>1308</v>
      </c>
      <c r="C5" s="7" t="n">
        <f aca="false">'Base Case'!G16</f>
        <v>20592</v>
      </c>
      <c r="D5" s="7" t="n">
        <f aca="false">Aggressive!G16</f>
        <v>182966</v>
      </c>
    </row>
    <row r="6" customFormat="false" ht="15" hidden="false" customHeight="false" outlineLevel="0" collapsed="false">
      <c r="A6" s="4" t="s">
        <v>6</v>
      </c>
      <c r="B6" s="8" t="n">
        <f aca="false">Conservative!G28</f>
        <v>15696</v>
      </c>
      <c r="C6" s="8" t="n">
        <f aca="false">'Base Case'!G28</f>
        <v>247104</v>
      </c>
      <c r="D6" s="8" t="n">
        <f aca="false">Aggressive!G28</f>
        <v>2195592</v>
      </c>
    </row>
    <row r="7" customFormat="false" ht="15" hidden="false" customHeight="false" outlineLevel="0" collapsed="false">
      <c r="A7" s="4" t="s">
        <v>7</v>
      </c>
      <c r="B7" s="9" t="n">
        <f aca="false">Conservative!G22</f>
        <v>405</v>
      </c>
      <c r="C7" s="9" t="n">
        <f aca="false">'Base Case'!G22</f>
        <v>19389</v>
      </c>
      <c r="D7" s="9" t="n">
        <f aca="false">Aggressive!G22</f>
        <v>180763</v>
      </c>
    </row>
    <row r="8" customFormat="false" ht="15" hidden="false" customHeight="false" outlineLevel="0" collapsed="false">
      <c r="A8" s="4" t="s">
        <v>8</v>
      </c>
      <c r="B8" s="9" t="n">
        <f aca="false">Conservative!G23</f>
        <v>270</v>
      </c>
      <c r="C8" s="9" t="n">
        <f aca="false">'Base Case'!G23</f>
        <v>68760</v>
      </c>
      <c r="D8" s="9" t="n">
        <f aca="false">Aggressive!G23</f>
        <v>542120</v>
      </c>
    </row>
    <row r="9" customFormat="false" ht="15" hidden="false" customHeight="false" outlineLevel="0" collapsed="false">
      <c r="A9" s="4" t="s">
        <v>9</v>
      </c>
      <c r="B9" s="10" t="n">
        <f aca="false">Conservative!G24</f>
        <v>0.309633027522936</v>
      </c>
      <c r="C9" s="10" t="n">
        <f aca="false">'Base Case'!G24</f>
        <v>0.941579254079254</v>
      </c>
      <c r="D9" s="10" t="n">
        <f aca="false">Aggressive!G24</f>
        <v>0.987959511603249</v>
      </c>
    </row>
    <row r="10" customFormat="false" ht="15" hidden="false" customHeight="false" outlineLevel="0" collapsed="false">
      <c r="A10" s="6" t="s">
        <v>10</v>
      </c>
      <c r="B10" s="11" t="str">
        <f aca="false">Conservative!G27</f>
        <v>No</v>
      </c>
      <c r="C10" s="11" t="str">
        <f aca="false">'Base Case'!G27</f>
        <v>YES</v>
      </c>
      <c r="D10" s="11" t="str">
        <f aca="false">Aggressive!G27</f>
        <v>YES</v>
      </c>
    </row>
    <row r="12" customFormat="false" ht="15" hidden="false" customHeight="false" outlineLevel="0" collapsed="false">
      <c r="A12" s="12" t="s">
        <v>11</v>
      </c>
    </row>
    <row r="13" customFormat="false" ht="15" hidden="false" customHeight="false" outlineLevel="0" collapsed="false">
      <c r="A13" s="1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5" min="5" style="0" width="5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13" t="s">
        <v>14</v>
      </c>
    </row>
    <row r="4" customFormat="false" ht="15" hidden="false" customHeight="false" outlineLevel="0" collapsed="false">
      <c r="A4" s="2"/>
      <c r="B4" s="3" t="s">
        <v>1</v>
      </c>
      <c r="C4" s="3" t="s">
        <v>2</v>
      </c>
      <c r="D4" s="3" t="s">
        <v>3</v>
      </c>
    </row>
    <row r="5" customFormat="false" ht="15" hidden="false" customHeight="false" outlineLevel="0" collapsed="false">
      <c r="A5" s="14" t="s">
        <v>15</v>
      </c>
      <c r="B5" s="15"/>
      <c r="C5" s="15"/>
      <c r="D5" s="15"/>
    </row>
    <row r="6" customFormat="false" ht="15" hidden="false" customHeight="false" outlineLevel="0" collapsed="false">
      <c r="A6" s="16" t="s">
        <v>16</v>
      </c>
      <c r="B6" s="17" t="n">
        <v>200</v>
      </c>
      <c r="C6" s="17" t="n">
        <v>500</v>
      </c>
      <c r="D6" s="17" t="n">
        <v>1200</v>
      </c>
      <c r="F6" s="13" t="s">
        <v>17</v>
      </c>
    </row>
    <row r="7" customFormat="false" ht="15" hidden="false" customHeight="false" outlineLevel="0" collapsed="false">
      <c r="A7" s="16" t="s">
        <v>18</v>
      </c>
      <c r="B7" s="18" t="n">
        <v>0.15</v>
      </c>
      <c r="C7" s="18" t="n">
        <v>0.25</v>
      </c>
      <c r="D7" s="18" t="n">
        <v>0.4</v>
      </c>
      <c r="F7" s="13" t="s">
        <v>19</v>
      </c>
    </row>
    <row r="8" customFormat="false" ht="15" hidden="false" customHeight="false" outlineLevel="0" collapsed="false">
      <c r="A8" s="16" t="s">
        <v>20</v>
      </c>
      <c r="B8" s="17" t="n">
        <v>1.5</v>
      </c>
      <c r="C8" s="17" t="n">
        <v>2</v>
      </c>
      <c r="D8" s="17" t="n">
        <v>2.5</v>
      </c>
      <c r="F8" s="13" t="s">
        <v>21</v>
      </c>
    </row>
    <row r="9" customFormat="false" ht="15" hidden="false" customHeight="false" outlineLevel="0" collapsed="false">
      <c r="A9" s="16" t="s">
        <v>22</v>
      </c>
      <c r="B9" s="17" t="n">
        <v>1.2</v>
      </c>
      <c r="C9" s="17" t="n">
        <v>1.8</v>
      </c>
      <c r="D9" s="17" t="n">
        <v>2.5</v>
      </c>
      <c r="F9" s="13" t="s">
        <v>23</v>
      </c>
    </row>
    <row r="11" customFormat="false" ht="15" hidden="false" customHeight="false" outlineLevel="0" collapsed="false">
      <c r="A11" s="14" t="s">
        <v>24</v>
      </c>
      <c r="B11" s="15"/>
      <c r="C11" s="15"/>
      <c r="D11" s="15"/>
    </row>
    <row r="12" customFormat="false" ht="15" hidden="false" customHeight="false" outlineLevel="0" collapsed="false">
      <c r="A12" s="16" t="s">
        <v>25</v>
      </c>
      <c r="B12" s="18" t="n">
        <v>0.3</v>
      </c>
      <c r="C12" s="18" t="n">
        <v>0.5</v>
      </c>
      <c r="D12" s="18" t="n">
        <v>0.7</v>
      </c>
      <c r="F12" s="13" t="s">
        <v>26</v>
      </c>
    </row>
    <row r="13" customFormat="false" ht="15" hidden="false" customHeight="false" outlineLevel="0" collapsed="false">
      <c r="A13" s="16" t="s">
        <v>27</v>
      </c>
      <c r="B13" s="18" t="n">
        <v>0.2</v>
      </c>
      <c r="C13" s="18" t="n">
        <v>0.3</v>
      </c>
      <c r="D13" s="18" t="n">
        <v>0.45</v>
      </c>
      <c r="F13" s="13" t="s">
        <v>28</v>
      </c>
    </row>
    <row r="14" customFormat="false" ht="15" hidden="false" customHeight="false" outlineLevel="0" collapsed="false">
      <c r="A14" s="16" t="s">
        <v>29</v>
      </c>
      <c r="B14" s="18" t="n">
        <v>0.12</v>
      </c>
      <c r="C14" s="18" t="n">
        <v>0.15</v>
      </c>
      <c r="D14" s="18" t="n">
        <v>0.18</v>
      </c>
      <c r="F14" s="13" t="s">
        <v>30</v>
      </c>
    </row>
    <row r="15" customFormat="false" ht="15" hidden="false" customHeight="false" outlineLevel="0" collapsed="false">
      <c r="A15" s="16" t="s">
        <v>31</v>
      </c>
      <c r="B15" s="17" t="n">
        <v>3</v>
      </c>
      <c r="C15" s="17" t="n">
        <v>3</v>
      </c>
      <c r="D15" s="17" t="n">
        <v>3</v>
      </c>
      <c r="F15" s="13" t="s">
        <v>32</v>
      </c>
    </row>
    <row r="17" customFormat="false" ht="15" hidden="false" customHeight="false" outlineLevel="0" collapsed="false">
      <c r="A17" s="14" t="s">
        <v>33</v>
      </c>
      <c r="B17" s="15"/>
      <c r="C17" s="15"/>
      <c r="D17" s="15"/>
    </row>
    <row r="18" customFormat="false" ht="15" hidden="false" customHeight="false" outlineLevel="0" collapsed="false">
      <c r="A18" s="16" t="s">
        <v>34</v>
      </c>
      <c r="B18" s="19" t="n">
        <v>25</v>
      </c>
      <c r="C18" s="19" t="n">
        <v>25</v>
      </c>
      <c r="D18" s="19" t="n">
        <v>25</v>
      </c>
      <c r="F18" s="13" t="s">
        <v>35</v>
      </c>
    </row>
    <row r="19" customFormat="false" ht="15" hidden="false" customHeight="false" outlineLevel="0" collapsed="false">
      <c r="A19" s="16" t="s">
        <v>36</v>
      </c>
      <c r="B19" s="19" t="n">
        <v>500</v>
      </c>
      <c r="C19" s="19" t="n">
        <v>500</v>
      </c>
      <c r="D19" s="19" t="n">
        <v>500</v>
      </c>
      <c r="F19" s="13" t="s">
        <v>37</v>
      </c>
    </row>
    <row r="20" customFormat="false" ht="15" hidden="false" customHeight="false" outlineLevel="0" collapsed="false">
      <c r="A20" s="16" t="s">
        <v>38</v>
      </c>
      <c r="B20" s="19" t="n">
        <v>100</v>
      </c>
      <c r="C20" s="19" t="n">
        <v>100</v>
      </c>
      <c r="D20" s="19" t="n">
        <v>100</v>
      </c>
      <c r="F20" s="13" t="s">
        <v>39</v>
      </c>
    </row>
    <row r="21" customFormat="false" ht="15" hidden="false" customHeight="false" outlineLevel="0" collapsed="false">
      <c r="A21" s="16" t="s">
        <v>40</v>
      </c>
      <c r="B21" s="19" t="n">
        <v>50</v>
      </c>
      <c r="C21" s="19" t="n">
        <v>50</v>
      </c>
      <c r="D21" s="19" t="n">
        <v>50</v>
      </c>
      <c r="F21" s="13" t="s">
        <v>41</v>
      </c>
    </row>
    <row r="22" customFormat="false" ht="15" hidden="false" customHeight="false" outlineLevel="0" collapsed="false">
      <c r="A22" s="16" t="s">
        <v>42</v>
      </c>
      <c r="B22" s="19" t="n">
        <v>8</v>
      </c>
      <c r="C22" s="19" t="n">
        <v>8</v>
      </c>
      <c r="D22" s="19" t="n">
        <v>8</v>
      </c>
      <c r="F22" s="13" t="s">
        <v>43</v>
      </c>
    </row>
    <row r="23" customFormat="false" ht="15" hidden="false" customHeight="false" outlineLevel="0" collapsed="false">
      <c r="A23" s="16" t="s">
        <v>44</v>
      </c>
      <c r="B23" s="19" t="n">
        <v>20</v>
      </c>
      <c r="C23" s="19" t="n">
        <v>20</v>
      </c>
      <c r="D23" s="19" t="n">
        <v>20</v>
      </c>
      <c r="F23" s="13" t="s">
        <v>45</v>
      </c>
    </row>
    <row r="24" customFormat="false" ht="15" hidden="false" customHeight="false" outlineLevel="0" collapsed="false">
      <c r="A24" s="16" t="s">
        <v>46</v>
      </c>
      <c r="B24" s="19" t="n">
        <v>200</v>
      </c>
      <c r="C24" s="19" t="n">
        <v>500</v>
      </c>
      <c r="D24" s="19" t="n">
        <v>1500</v>
      </c>
      <c r="F24" s="13" t="s">
        <v>47</v>
      </c>
    </row>
    <row r="25" customFormat="false" ht="15" hidden="false" customHeight="false" outlineLevel="0" collapsed="false">
      <c r="A25" s="6" t="s">
        <v>48</v>
      </c>
      <c r="B25" s="20" t="n">
        <f aca="false">SUM(B18:B24)</f>
        <v>903</v>
      </c>
      <c r="C25" s="20" t="n">
        <f aca="false">SUM(C18:C24)</f>
        <v>1203</v>
      </c>
      <c r="D25" s="20" t="n">
        <f aca="false">SUM(D18:D24)</f>
        <v>2203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4A3B8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21" t="s">
        <v>49</v>
      </c>
    </row>
    <row r="3" customFormat="false" ht="15" hidden="false" customHeight="false" outlineLevel="0" collapsed="false">
      <c r="A3" s="2"/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</row>
    <row r="4" customFormat="false" ht="15" hidden="false" customHeight="false" outlineLevel="0" collapsed="false">
      <c r="A4" s="14" t="s">
        <v>56</v>
      </c>
      <c r="B4" s="15"/>
      <c r="C4" s="15"/>
      <c r="D4" s="15"/>
      <c r="E4" s="15"/>
      <c r="F4" s="15"/>
      <c r="G4" s="15"/>
    </row>
    <row r="5" customFormat="false" ht="15" hidden="false" customHeight="false" outlineLevel="0" collapsed="false">
      <c r="A5" s="16" t="s">
        <v>57</v>
      </c>
      <c r="B5" s="5" t="n">
        <f aca="false">Assumptions!B6</f>
        <v>200</v>
      </c>
      <c r="C5" s="22" t="n">
        <f aca="false">ROUND(B5*(1+Assumptions!B7),0)</f>
        <v>230</v>
      </c>
      <c r="D5" s="22" t="n">
        <f aca="false">ROUND(C5*(1+Assumptions!B7),0)</f>
        <v>265</v>
      </c>
      <c r="E5" s="22" t="n">
        <f aca="false">ROUND(D5*(1+Assumptions!B7),0)</f>
        <v>305</v>
      </c>
      <c r="F5" s="22" t="n">
        <f aca="false">ROUND(E5*(1+Assumptions!B7),0)</f>
        <v>351</v>
      </c>
      <c r="G5" s="22" t="n">
        <f aca="false">ROUND(F5*(1+Assumptions!B7),0)</f>
        <v>404</v>
      </c>
    </row>
    <row r="6" customFormat="false" ht="15" hidden="false" customHeight="false" outlineLevel="0" collapsed="false">
      <c r="A6" s="16" t="s">
        <v>20</v>
      </c>
      <c r="B6" s="23" t="n">
        <f aca="false">Assumptions!B8</f>
        <v>1.5</v>
      </c>
      <c r="C6" s="23" t="n">
        <f aca="false">Assumptions!B8</f>
        <v>1.5</v>
      </c>
      <c r="D6" s="23" t="n">
        <f aca="false">Assumptions!B8</f>
        <v>1.5</v>
      </c>
      <c r="E6" s="23" t="n">
        <f aca="false">Assumptions!B8</f>
        <v>1.5</v>
      </c>
      <c r="F6" s="23" t="n">
        <f aca="false">Assumptions!B8</f>
        <v>1.5</v>
      </c>
      <c r="G6" s="23" t="n">
        <f aca="false">Assumptions!B8</f>
        <v>1.5</v>
      </c>
    </row>
    <row r="7" customFormat="false" ht="15" hidden="false" customHeight="false" outlineLevel="0" collapsed="false">
      <c r="A7" s="16" t="s">
        <v>58</v>
      </c>
      <c r="B7" s="22" t="n">
        <f aca="false">B5*B6</f>
        <v>300</v>
      </c>
      <c r="C7" s="22" t="n">
        <f aca="false">C5*C6</f>
        <v>345</v>
      </c>
      <c r="D7" s="22" t="n">
        <f aca="false">D5*D6</f>
        <v>397.5</v>
      </c>
      <c r="E7" s="22" t="n">
        <f aca="false">E5*E6</f>
        <v>457.5</v>
      </c>
      <c r="F7" s="22" t="n">
        <f aca="false">F5*F6</f>
        <v>526.5</v>
      </c>
      <c r="G7" s="22" t="n">
        <f aca="false">G5*G6</f>
        <v>606</v>
      </c>
    </row>
    <row r="8" customFormat="false" ht="15" hidden="false" customHeight="false" outlineLevel="0" collapsed="false">
      <c r="A8" s="16" t="s">
        <v>22</v>
      </c>
      <c r="B8" s="23" t="n">
        <f aca="false">Assumptions!B9</f>
        <v>1.2</v>
      </c>
      <c r="C8" s="23" t="n">
        <f aca="false">Assumptions!B9</f>
        <v>1.2</v>
      </c>
      <c r="D8" s="23" t="n">
        <f aca="false">Assumptions!B9</f>
        <v>1.2</v>
      </c>
      <c r="E8" s="23" t="n">
        <f aca="false">Assumptions!B9</f>
        <v>1.2</v>
      </c>
      <c r="F8" s="23" t="n">
        <f aca="false">Assumptions!B9</f>
        <v>1.2</v>
      </c>
      <c r="G8" s="23" t="n">
        <f aca="false">Assumptions!B9</f>
        <v>1.2</v>
      </c>
    </row>
    <row r="9" customFormat="false" ht="15" hidden="false" customHeight="false" outlineLevel="0" collapsed="false">
      <c r="A9" s="16" t="s">
        <v>59</v>
      </c>
      <c r="B9" s="22" t="n">
        <f aca="false">MIN(B7*B8, B5*Assumptions!B15)</f>
        <v>360</v>
      </c>
      <c r="C9" s="22" t="n">
        <f aca="false">MIN(C7*C8, C5*Assumptions!B15)</f>
        <v>414</v>
      </c>
      <c r="D9" s="22" t="n">
        <f aca="false">MIN(D7*D8, D5*Assumptions!B15)</f>
        <v>477</v>
      </c>
      <c r="E9" s="22" t="n">
        <f aca="false">MIN(E7*E8, E5*Assumptions!B15)</f>
        <v>549</v>
      </c>
      <c r="F9" s="22" t="n">
        <f aca="false">MIN(F7*F8, F5*Assumptions!B15)</f>
        <v>631.8</v>
      </c>
      <c r="G9" s="22" t="n">
        <f aca="false">MIN(G7*G8, G5*Assumptions!B15)</f>
        <v>727.2</v>
      </c>
    </row>
    <row r="11" customFormat="false" ht="15" hidden="false" customHeight="false" outlineLevel="0" collapsed="false">
      <c r="A11" s="14" t="s">
        <v>60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6" t="s">
        <v>25</v>
      </c>
      <c r="B12" s="10" t="n">
        <f aca="false">Assumptions!B12</f>
        <v>0.3</v>
      </c>
      <c r="C12" s="10" t="n">
        <f aca="false">Assumptions!B12</f>
        <v>0.3</v>
      </c>
      <c r="D12" s="10" t="n">
        <f aca="false">Assumptions!B12</f>
        <v>0.3</v>
      </c>
      <c r="E12" s="10" t="n">
        <f aca="false">Assumptions!B12</f>
        <v>0.3</v>
      </c>
      <c r="F12" s="10" t="n">
        <f aca="false">Assumptions!B12</f>
        <v>0.3</v>
      </c>
      <c r="G12" s="10" t="n">
        <f aca="false">Assumptions!B12</f>
        <v>0.3</v>
      </c>
    </row>
    <row r="13" customFormat="false" ht="15" hidden="false" customHeight="false" outlineLevel="0" collapsed="false">
      <c r="A13" s="16" t="s">
        <v>61</v>
      </c>
      <c r="B13" s="22" t="n">
        <f aca="false">ROUND(B9*B12,0)</f>
        <v>108</v>
      </c>
      <c r="C13" s="22" t="n">
        <f aca="false">ROUND(C9*C12,0)</f>
        <v>124</v>
      </c>
      <c r="D13" s="22" t="n">
        <f aca="false">ROUND(D9*D12,0)</f>
        <v>143</v>
      </c>
      <c r="E13" s="22" t="n">
        <f aca="false">ROUND(E9*E12,0)</f>
        <v>165</v>
      </c>
      <c r="F13" s="22" t="n">
        <f aca="false">ROUND(F9*F12,0)</f>
        <v>190</v>
      </c>
      <c r="G13" s="22" t="n">
        <f aca="false">ROUND(G9*G12,0)</f>
        <v>218</v>
      </c>
    </row>
    <row r="14" customFormat="false" ht="15" hidden="false" customHeight="false" outlineLevel="0" collapsed="false">
      <c r="A14" s="16" t="s">
        <v>62</v>
      </c>
      <c r="B14" s="24" t="n">
        <f aca="false">Assumptions!B13</f>
        <v>0.2</v>
      </c>
      <c r="C14" s="24" t="n">
        <f aca="false">Assumptions!B13</f>
        <v>0.2</v>
      </c>
      <c r="D14" s="24" t="n">
        <f aca="false">Assumptions!B13</f>
        <v>0.2</v>
      </c>
      <c r="E14" s="24" t="n">
        <f aca="false">Assumptions!B13</f>
        <v>0.2</v>
      </c>
      <c r="F14" s="24" t="n">
        <f aca="false">Assumptions!B13</f>
        <v>0.2</v>
      </c>
      <c r="G14" s="24" t="n">
        <f aca="false">Assumptions!B13</f>
        <v>0.2</v>
      </c>
    </row>
    <row r="15" customFormat="false" ht="15" hidden="false" customHeight="false" outlineLevel="0" collapsed="false">
      <c r="A15" s="16" t="s">
        <v>63</v>
      </c>
      <c r="B15" s="25" t="n">
        <f aca="false">B13*B14</f>
        <v>21.6</v>
      </c>
      <c r="C15" s="25" t="n">
        <f aca="false">C13*C14</f>
        <v>24.8</v>
      </c>
      <c r="D15" s="25" t="n">
        <f aca="false">D13*D14</f>
        <v>28.6</v>
      </c>
      <c r="E15" s="25" t="n">
        <f aca="false">E13*E14</f>
        <v>33</v>
      </c>
      <c r="F15" s="25" t="n">
        <f aca="false">F13*F14</f>
        <v>38</v>
      </c>
      <c r="G15" s="25" t="n">
        <f aca="false">G13*G14</f>
        <v>43.6</v>
      </c>
    </row>
    <row r="16" customFormat="false" ht="15" hidden="false" customHeight="false" outlineLevel="0" collapsed="false">
      <c r="A16" s="6" t="s">
        <v>64</v>
      </c>
      <c r="B16" s="26" t="n">
        <f aca="false">ROUND(B15*30,0)</f>
        <v>648</v>
      </c>
      <c r="C16" s="26" t="n">
        <f aca="false">ROUND(C15*30,0)</f>
        <v>744</v>
      </c>
      <c r="D16" s="26" t="n">
        <f aca="false">ROUND(D15*30,0)</f>
        <v>858</v>
      </c>
      <c r="E16" s="26" t="n">
        <f aca="false">ROUND(E15*30,0)</f>
        <v>990</v>
      </c>
      <c r="F16" s="26" t="n">
        <f aca="false">ROUND(F15*30,0)</f>
        <v>1140</v>
      </c>
      <c r="G16" s="26" t="n">
        <f aca="false">ROUND(G15*30,0)</f>
        <v>1308</v>
      </c>
    </row>
    <row r="18" customFormat="false" ht="15" hidden="false" customHeight="false" outlineLevel="0" collapsed="false">
      <c r="A18" s="14" t="s">
        <v>65</v>
      </c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6" t="s">
        <v>48</v>
      </c>
      <c r="B19" s="8" t="n">
        <f aca="false">Assumptions!B25</f>
        <v>903</v>
      </c>
      <c r="C19" s="8" t="n">
        <f aca="false">Assumptions!B25</f>
        <v>903</v>
      </c>
      <c r="D19" s="8" t="n">
        <f aca="false">Assumptions!B25</f>
        <v>903</v>
      </c>
      <c r="E19" s="8" t="n">
        <f aca="false">Assumptions!B25</f>
        <v>903</v>
      </c>
      <c r="F19" s="8" t="n">
        <f aca="false">Assumptions!B25</f>
        <v>903</v>
      </c>
      <c r="G19" s="8" t="n">
        <f aca="false">Assumptions!B25</f>
        <v>903</v>
      </c>
    </row>
    <row r="21" customFormat="false" ht="15" hidden="false" customHeight="false" outlineLevel="0" collapsed="false">
      <c r="A21" s="14" t="s">
        <v>66</v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6" t="s">
        <v>67</v>
      </c>
      <c r="B22" s="27" t="n">
        <f aca="false">B16-B19</f>
        <v>-255</v>
      </c>
      <c r="C22" s="27" t="n">
        <f aca="false">C16-C19</f>
        <v>-159</v>
      </c>
      <c r="D22" s="27" t="n">
        <f aca="false">D16-D19</f>
        <v>-45</v>
      </c>
      <c r="E22" s="27" t="n">
        <f aca="false">E16-E19</f>
        <v>87</v>
      </c>
      <c r="F22" s="27" t="n">
        <f aca="false">F16-F19</f>
        <v>237</v>
      </c>
      <c r="G22" s="27" t="n">
        <f aca="false">G16-G19</f>
        <v>405</v>
      </c>
    </row>
    <row r="23" customFormat="false" ht="15" hidden="false" customHeight="false" outlineLevel="0" collapsed="false">
      <c r="A23" s="6" t="s">
        <v>68</v>
      </c>
      <c r="B23" s="28" t="n">
        <f aca="false">B22</f>
        <v>-255</v>
      </c>
      <c r="C23" s="28" t="n">
        <f aca="false">B23+C22</f>
        <v>-414</v>
      </c>
      <c r="D23" s="28" t="n">
        <f aca="false">C23+D22</f>
        <v>-459</v>
      </c>
      <c r="E23" s="28" t="n">
        <f aca="false">D23+E22</f>
        <v>-372</v>
      </c>
      <c r="F23" s="28" t="n">
        <f aca="false">E23+F22</f>
        <v>-135</v>
      </c>
      <c r="G23" s="28" t="n">
        <f aca="false">F23+G22</f>
        <v>270</v>
      </c>
    </row>
    <row r="24" customFormat="false" ht="15" hidden="false" customHeight="false" outlineLevel="0" collapsed="false">
      <c r="A24" s="16" t="s">
        <v>69</v>
      </c>
      <c r="B24" s="29" t="n">
        <f aca="false">IF(B16=0,0,B22/B16)</f>
        <v>-0.393518518518519</v>
      </c>
      <c r="C24" s="29" t="n">
        <f aca="false">IF(C16=0,0,C22/C16)</f>
        <v>-0.213709677419355</v>
      </c>
      <c r="D24" s="29" t="n">
        <f aca="false">IF(D16=0,0,D22/D16)</f>
        <v>-0.0524475524475525</v>
      </c>
      <c r="E24" s="29" t="n">
        <f aca="false">IF(E16=0,0,E22/E16)</f>
        <v>0.0878787878787879</v>
      </c>
      <c r="F24" s="29" t="n">
        <f aca="false">IF(F16=0,0,F22/F16)</f>
        <v>0.207894736842105</v>
      </c>
      <c r="G24" s="29" t="n">
        <f aca="false">IF(G16=0,0,G22/G16)</f>
        <v>0.309633027522936</v>
      </c>
    </row>
    <row r="26" customFormat="false" ht="15" hidden="false" customHeight="false" outlineLevel="0" collapsed="false">
      <c r="A26" s="14" t="s">
        <v>70</v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6" t="s">
        <v>71</v>
      </c>
      <c r="B27" s="11" t="str">
        <f aca="false">IF(B16&gt;=10000,"YES","No")</f>
        <v>No</v>
      </c>
      <c r="C27" s="11" t="str">
        <f aca="false">IF(C16&gt;=10000,"YES","No")</f>
        <v>No</v>
      </c>
      <c r="D27" s="11" t="str">
        <f aca="false">IF(D16&gt;=10000,"YES","No")</f>
        <v>No</v>
      </c>
      <c r="E27" s="11" t="str">
        <f aca="false">IF(E16&gt;=10000,"YES","No")</f>
        <v>No</v>
      </c>
      <c r="F27" s="11" t="str">
        <f aca="false">IF(F16&gt;=10000,"YES","No")</f>
        <v>No</v>
      </c>
      <c r="G27" s="11" t="str">
        <f aca="false">IF(G16&gt;=10000,"YES","No")</f>
        <v>No</v>
      </c>
    </row>
    <row r="28" customFormat="false" ht="15" hidden="false" customHeight="false" outlineLevel="0" collapsed="false">
      <c r="A28" s="16" t="s">
        <v>72</v>
      </c>
      <c r="B28" s="30" t="n">
        <f aca="false">B16*12</f>
        <v>7776</v>
      </c>
      <c r="C28" s="30" t="n">
        <f aca="false">C16*12</f>
        <v>8928</v>
      </c>
      <c r="D28" s="30" t="n">
        <f aca="false">D16*12</f>
        <v>10296</v>
      </c>
      <c r="E28" s="30" t="n">
        <f aca="false">E16*12</f>
        <v>11880</v>
      </c>
      <c r="F28" s="30" t="n">
        <f aca="false">F16*12</f>
        <v>13680</v>
      </c>
      <c r="G28" s="30" t="n">
        <f aca="false">G16*12</f>
        <v>15696</v>
      </c>
    </row>
    <row r="29" customFormat="false" ht="15" hidden="false" customHeight="false" outlineLevel="0" collapsed="false">
      <c r="A29" s="16" t="s">
        <v>73</v>
      </c>
      <c r="B29" s="22" t="n">
        <f aca="false">B13*30</f>
        <v>3240</v>
      </c>
      <c r="C29" s="22" t="n">
        <f aca="false">C13*30</f>
        <v>3720</v>
      </c>
      <c r="D29" s="22" t="n">
        <f aca="false">D13*30</f>
        <v>4290</v>
      </c>
      <c r="E29" s="22" t="n">
        <f aca="false">E13*30</f>
        <v>4950</v>
      </c>
      <c r="F29" s="22" t="n">
        <f aca="false">F13*30</f>
        <v>5700</v>
      </c>
      <c r="G29" s="22" t="n">
        <f aca="false">G13*30</f>
        <v>6540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21" t="s">
        <v>74</v>
      </c>
    </row>
    <row r="3" customFormat="false" ht="15" hidden="false" customHeight="false" outlineLevel="0" collapsed="false">
      <c r="A3" s="2"/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</row>
    <row r="4" customFormat="false" ht="15" hidden="false" customHeight="false" outlineLevel="0" collapsed="false">
      <c r="A4" s="14" t="s">
        <v>56</v>
      </c>
      <c r="B4" s="15"/>
      <c r="C4" s="15"/>
      <c r="D4" s="15"/>
      <c r="E4" s="15"/>
      <c r="F4" s="15"/>
      <c r="G4" s="15"/>
    </row>
    <row r="5" customFormat="false" ht="15" hidden="false" customHeight="false" outlineLevel="0" collapsed="false">
      <c r="A5" s="16" t="s">
        <v>57</v>
      </c>
      <c r="B5" s="5" t="n">
        <f aca="false">Assumptions!C6</f>
        <v>500</v>
      </c>
      <c r="C5" s="22" t="n">
        <f aca="false">ROUND(B5*(1+Assumptions!C7),0)</f>
        <v>625</v>
      </c>
      <c r="D5" s="22" t="n">
        <f aca="false">ROUND(C5*(1+Assumptions!C7),0)</f>
        <v>781</v>
      </c>
      <c r="E5" s="22" t="n">
        <f aca="false">ROUND(D5*(1+Assumptions!C7),0)</f>
        <v>976</v>
      </c>
      <c r="F5" s="22" t="n">
        <f aca="false">ROUND(E5*(1+Assumptions!C7),0)</f>
        <v>1220</v>
      </c>
      <c r="G5" s="22" t="n">
        <f aca="false">ROUND(F5*(1+Assumptions!C7),0)</f>
        <v>1525</v>
      </c>
    </row>
    <row r="6" customFormat="false" ht="15" hidden="false" customHeight="false" outlineLevel="0" collapsed="false">
      <c r="A6" s="16" t="s">
        <v>20</v>
      </c>
      <c r="B6" s="23" t="n">
        <f aca="false">Assumptions!C8</f>
        <v>2</v>
      </c>
      <c r="C6" s="23" t="n">
        <f aca="false">Assumptions!C8</f>
        <v>2</v>
      </c>
      <c r="D6" s="23" t="n">
        <f aca="false">Assumptions!C8</f>
        <v>2</v>
      </c>
      <c r="E6" s="23" t="n">
        <f aca="false">Assumptions!C8</f>
        <v>2</v>
      </c>
      <c r="F6" s="23" t="n">
        <f aca="false">Assumptions!C8</f>
        <v>2</v>
      </c>
      <c r="G6" s="23" t="n">
        <f aca="false">Assumptions!C8</f>
        <v>2</v>
      </c>
    </row>
    <row r="7" customFormat="false" ht="15" hidden="false" customHeight="false" outlineLevel="0" collapsed="false">
      <c r="A7" s="16" t="s">
        <v>58</v>
      </c>
      <c r="B7" s="22" t="n">
        <f aca="false">B5*B6</f>
        <v>1000</v>
      </c>
      <c r="C7" s="22" t="n">
        <f aca="false">C5*C6</f>
        <v>1250</v>
      </c>
      <c r="D7" s="22" t="n">
        <f aca="false">D5*D6</f>
        <v>1562</v>
      </c>
      <c r="E7" s="22" t="n">
        <f aca="false">E5*E6</f>
        <v>1952</v>
      </c>
      <c r="F7" s="22" t="n">
        <f aca="false">F5*F6</f>
        <v>2440</v>
      </c>
      <c r="G7" s="22" t="n">
        <f aca="false">G5*G6</f>
        <v>3050</v>
      </c>
    </row>
    <row r="8" customFormat="false" ht="15" hidden="false" customHeight="false" outlineLevel="0" collapsed="false">
      <c r="A8" s="16" t="s">
        <v>22</v>
      </c>
      <c r="B8" s="23" t="n">
        <f aca="false">Assumptions!C9</f>
        <v>1.8</v>
      </c>
      <c r="C8" s="23" t="n">
        <f aca="false">Assumptions!C9</f>
        <v>1.8</v>
      </c>
      <c r="D8" s="23" t="n">
        <f aca="false">Assumptions!C9</f>
        <v>1.8</v>
      </c>
      <c r="E8" s="23" t="n">
        <f aca="false">Assumptions!C9</f>
        <v>1.8</v>
      </c>
      <c r="F8" s="23" t="n">
        <f aca="false">Assumptions!C9</f>
        <v>1.8</v>
      </c>
      <c r="G8" s="23" t="n">
        <f aca="false">Assumptions!C9</f>
        <v>1.8</v>
      </c>
    </row>
    <row r="9" customFormat="false" ht="15" hidden="false" customHeight="false" outlineLevel="0" collapsed="false">
      <c r="A9" s="16" t="s">
        <v>59</v>
      </c>
      <c r="B9" s="22" t="n">
        <f aca="false">MIN(B7*B8, B5*Assumptions!C15)</f>
        <v>1500</v>
      </c>
      <c r="C9" s="22" t="n">
        <f aca="false">MIN(C7*C8, C5*Assumptions!C15)</f>
        <v>1875</v>
      </c>
      <c r="D9" s="22" t="n">
        <f aca="false">MIN(D7*D8, D5*Assumptions!C15)</f>
        <v>2343</v>
      </c>
      <c r="E9" s="22" t="n">
        <f aca="false">MIN(E7*E8, E5*Assumptions!C15)</f>
        <v>2928</v>
      </c>
      <c r="F9" s="22" t="n">
        <f aca="false">MIN(F7*F8, F5*Assumptions!C15)</f>
        <v>3660</v>
      </c>
      <c r="G9" s="22" t="n">
        <f aca="false">MIN(G7*G8, G5*Assumptions!C15)</f>
        <v>4575</v>
      </c>
    </row>
    <row r="11" customFormat="false" ht="15" hidden="false" customHeight="false" outlineLevel="0" collapsed="false">
      <c r="A11" s="14" t="s">
        <v>60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6" t="s">
        <v>25</v>
      </c>
      <c r="B12" s="10" t="n">
        <f aca="false">Assumptions!C12</f>
        <v>0.5</v>
      </c>
      <c r="C12" s="10" t="n">
        <f aca="false">Assumptions!C12</f>
        <v>0.5</v>
      </c>
      <c r="D12" s="10" t="n">
        <f aca="false">Assumptions!C12</f>
        <v>0.5</v>
      </c>
      <c r="E12" s="10" t="n">
        <f aca="false">Assumptions!C12</f>
        <v>0.5</v>
      </c>
      <c r="F12" s="10" t="n">
        <f aca="false">Assumptions!C12</f>
        <v>0.5</v>
      </c>
      <c r="G12" s="10" t="n">
        <f aca="false">Assumptions!C12</f>
        <v>0.5</v>
      </c>
    </row>
    <row r="13" customFormat="false" ht="15" hidden="false" customHeight="false" outlineLevel="0" collapsed="false">
      <c r="A13" s="16" t="s">
        <v>61</v>
      </c>
      <c r="B13" s="22" t="n">
        <f aca="false">ROUND(B9*B12,0)</f>
        <v>750</v>
      </c>
      <c r="C13" s="22" t="n">
        <f aca="false">ROUND(C9*C12,0)</f>
        <v>938</v>
      </c>
      <c r="D13" s="22" t="n">
        <f aca="false">ROUND(D9*D12,0)</f>
        <v>1172</v>
      </c>
      <c r="E13" s="22" t="n">
        <f aca="false">ROUND(E9*E12,0)</f>
        <v>1464</v>
      </c>
      <c r="F13" s="22" t="n">
        <f aca="false">ROUND(F9*F12,0)</f>
        <v>1830</v>
      </c>
      <c r="G13" s="22" t="n">
        <f aca="false">ROUND(G9*G12,0)</f>
        <v>2288</v>
      </c>
    </row>
    <row r="14" customFormat="false" ht="15" hidden="false" customHeight="false" outlineLevel="0" collapsed="false">
      <c r="A14" s="16" t="s">
        <v>62</v>
      </c>
      <c r="B14" s="24" t="n">
        <f aca="false">Assumptions!C13</f>
        <v>0.3</v>
      </c>
      <c r="C14" s="24" t="n">
        <f aca="false">Assumptions!C13</f>
        <v>0.3</v>
      </c>
      <c r="D14" s="24" t="n">
        <f aca="false">Assumptions!C13</f>
        <v>0.3</v>
      </c>
      <c r="E14" s="24" t="n">
        <f aca="false">Assumptions!C13</f>
        <v>0.3</v>
      </c>
      <c r="F14" s="24" t="n">
        <f aca="false">Assumptions!C13</f>
        <v>0.3</v>
      </c>
      <c r="G14" s="24" t="n">
        <f aca="false">Assumptions!C13</f>
        <v>0.3</v>
      </c>
    </row>
    <row r="15" customFormat="false" ht="15" hidden="false" customHeight="false" outlineLevel="0" collapsed="false">
      <c r="A15" s="16" t="s">
        <v>63</v>
      </c>
      <c r="B15" s="25" t="n">
        <f aca="false">B13*B14</f>
        <v>225</v>
      </c>
      <c r="C15" s="25" t="n">
        <f aca="false">C13*C14</f>
        <v>281.4</v>
      </c>
      <c r="D15" s="25" t="n">
        <f aca="false">D13*D14</f>
        <v>351.6</v>
      </c>
      <c r="E15" s="25" t="n">
        <f aca="false">E13*E14</f>
        <v>439.2</v>
      </c>
      <c r="F15" s="25" t="n">
        <f aca="false">F13*F14</f>
        <v>549</v>
      </c>
      <c r="G15" s="25" t="n">
        <f aca="false">G13*G14</f>
        <v>686.4</v>
      </c>
    </row>
    <row r="16" customFormat="false" ht="15" hidden="false" customHeight="false" outlineLevel="0" collapsed="false">
      <c r="A16" s="6" t="s">
        <v>64</v>
      </c>
      <c r="B16" s="26" t="n">
        <f aca="false">ROUND(B15*30,0)</f>
        <v>6750</v>
      </c>
      <c r="C16" s="26" t="n">
        <f aca="false">ROUND(C15*30,0)</f>
        <v>8442</v>
      </c>
      <c r="D16" s="26" t="n">
        <f aca="false">ROUND(D15*30,0)</f>
        <v>10548</v>
      </c>
      <c r="E16" s="26" t="n">
        <f aca="false">ROUND(E15*30,0)</f>
        <v>13176</v>
      </c>
      <c r="F16" s="26" t="n">
        <f aca="false">ROUND(F15*30,0)</f>
        <v>16470</v>
      </c>
      <c r="G16" s="26" t="n">
        <f aca="false">ROUND(G15*30,0)</f>
        <v>20592</v>
      </c>
    </row>
    <row r="18" customFormat="false" ht="15" hidden="false" customHeight="false" outlineLevel="0" collapsed="false">
      <c r="A18" s="14" t="s">
        <v>65</v>
      </c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6" t="s">
        <v>48</v>
      </c>
      <c r="B19" s="8" t="n">
        <f aca="false">Assumptions!C25</f>
        <v>1203</v>
      </c>
      <c r="C19" s="8" t="n">
        <f aca="false">Assumptions!C25</f>
        <v>1203</v>
      </c>
      <c r="D19" s="8" t="n">
        <f aca="false">Assumptions!C25</f>
        <v>1203</v>
      </c>
      <c r="E19" s="8" t="n">
        <f aca="false">Assumptions!C25</f>
        <v>1203</v>
      </c>
      <c r="F19" s="8" t="n">
        <f aca="false">Assumptions!C25</f>
        <v>1203</v>
      </c>
      <c r="G19" s="8" t="n">
        <f aca="false">Assumptions!C25</f>
        <v>1203</v>
      </c>
    </row>
    <row r="21" customFormat="false" ht="15" hidden="false" customHeight="false" outlineLevel="0" collapsed="false">
      <c r="A21" s="14" t="s">
        <v>66</v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6" t="s">
        <v>67</v>
      </c>
      <c r="B22" s="27" t="n">
        <f aca="false">B16-B19</f>
        <v>5547</v>
      </c>
      <c r="C22" s="27" t="n">
        <f aca="false">C16-C19</f>
        <v>7239</v>
      </c>
      <c r="D22" s="27" t="n">
        <f aca="false">D16-D19</f>
        <v>9345</v>
      </c>
      <c r="E22" s="27" t="n">
        <f aca="false">E16-E19</f>
        <v>11973</v>
      </c>
      <c r="F22" s="27" t="n">
        <f aca="false">F16-F19</f>
        <v>15267</v>
      </c>
      <c r="G22" s="27" t="n">
        <f aca="false">G16-G19</f>
        <v>19389</v>
      </c>
    </row>
    <row r="23" customFormat="false" ht="15" hidden="false" customHeight="false" outlineLevel="0" collapsed="false">
      <c r="A23" s="6" t="s">
        <v>68</v>
      </c>
      <c r="B23" s="28" t="n">
        <f aca="false">B22</f>
        <v>5547</v>
      </c>
      <c r="C23" s="28" t="n">
        <f aca="false">B23+C22</f>
        <v>12786</v>
      </c>
      <c r="D23" s="28" t="n">
        <f aca="false">C23+D22</f>
        <v>22131</v>
      </c>
      <c r="E23" s="28" t="n">
        <f aca="false">D23+E22</f>
        <v>34104</v>
      </c>
      <c r="F23" s="28" t="n">
        <f aca="false">E23+F22</f>
        <v>49371</v>
      </c>
      <c r="G23" s="28" t="n">
        <f aca="false">F23+G22</f>
        <v>68760</v>
      </c>
    </row>
    <row r="24" customFormat="false" ht="15" hidden="false" customHeight="false" outlineLevel="0" collapsed="false">
      <c r="A24" s="16" t="s">
        <v>69</v>
      </c>
      <c r="B24" s="29" t="n">
        <f aca="false">IF(B16=0,0,B22/B16)</f>
        <v>0.821777777777778</v>
      </c>
      <c r="C24" s="29" t="n">
        <f aca="false">IF(C16=0,0,C22/C16)</f>
        <v>0.857498223169865</v>
      </c>
      <c r="D24" s="29" t="n">
        <f aca="false">IF(D16=0,0,D22/D16)</f>
        <v>0.885949943117179</v>
      </c>
      <c r="E24" s="29" t="n">
        <f aca="false">IF(E16=0,0,E22/E16)</f>
        <v>0.908697632058288</v>
      </c>
      <c r="F24" s="29" t="n">
        <f aca="false">IF(F16=0,0,F22/F16)</f>
        <v>0.92695810564663</v>
      </c>
      <c r="G24" s="29" t="n">
        <f aca="false">IF(G16=0,0,G22/G16)</f>
        <v>0.941579254079254</v>
      </c>
    </row>
    <row r="26" customFormat="false" ht="15" hidden="false" customHeight="false" outlineLevel="0" collapsed="false">
      <c r="A26" s="14" t="s">
        <v>70</v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6" t="s">
        <v>71</v>
      </c>
      <c r="B27" s="11" t="str">
        <f aca="false">IF(B16&gt;=10000,"YES","No")</f>
        <v>No</v>
      </c>
      <c r="C27" s="11" t="str">
        <f aca="false">IF(C16&gt;=10000,"YES","No")</f>
        <v>No</v>
      </c>
      <c r="D27" s="11" t="str">
        <f aca="false">IF(D16&gt;=10000,"YES","No")</f>
        <v>YES</v>
      </c>
      <c r="E27" s="11" t="str">
        <f aca="false">IF(E16&gt;=10000,"YES","No")</f>
        <v>YES</v>
      </c>
      <c r="F27" s="11" t="str">
        <f aca="false">IF(F16&gt;=10000,"YES","No")</f>
        <v>YES</v>
      </c>
      <c r="G27" s="11" t="str">
        <f aca="false">IF(G16&gt;=10000,"YES","No")</f>
        <v>YES</v>
      </c>
    </row>
    <row r="28" customFormat="false" ht="15" hidden="false" customHeight="false" outlineLevel="0" collapsed="false">
      <c r="A28" s="16" t="s">
        <v>72</v>
      </c>
      <c r="B28" s="30" t="n">
        <f aca="false">B16*12</f>
        <v>81000</v>
      </c>
      <c r="C28" s="30" t="n">
        <f aca="false">C16*12</f>
        <v>101304</v>
      </c>
      <c r="D28" s="30" t="n">
        <f aca="false">D16*12</f>
        <v>126576</v>
      </c>
      <c r="E28" s="30" t="n">
        <f aca="false">E16*12</f>
        <v>158112</v>
      </c>
      <c r="F28" s="30" t="n">
        <f aca="false">F16*12</f>
        <v>197640</v>
      </c>
      <c r="G28" s="30" t="n">
        <f aca="false">G16*12</f>
        <v>247104</v>
      </c>
    </row>
    <row r="29" customFormat="false" ht="15" hidden="false" customHeight="false" outlineLevel="0" collapsed="false">
      <c r="A29" s="16" t="s">
        <v>73</v>
      </c>
      <c r="B29" s="22" t="n">
        <f aca="false">B13*30</f>
        <v>22500</v>
      </c>
      <c r="C29" s="22" t="n">
        <f aca="false">C13*30</f>
        <v>28140</v>
      </c>
      <c r="D29" s="22" t="n">
        <f aca="false">D13*30</f>
        <v>35160</v>
      </c>
      <c r="E29" s="22" t="n">
        <f aca="false">E13*30</f>
        <v>43920</v>
      </c>
      <c r="F29" s="22" t="n">
        <f aca="false">F13*30</f>
        <v>54900</v>
      </c>
      <c r="G29" s="22" t="n">
        <f aca="false">G13*30</f>
        <v>68640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21" t="s">
        <v>75</v>
      </c>
    </row>
    <row r="3" customFormat="false" ht="15" hidden="false" customHeight="false" outlineLevel="0" collapsed="false">
      <c r="A3" s="2"/>
      <c r="B3" s="3" t="s">
        <v>50</v>
      </c>
      <c r="C3" s="3" t="s">
        <v>51</v>
      </c>
      <c r="D3" s="3" t="s">
        <v>52</v>
      </c>
      <c r="E3" s="3" t="s">
        <v>53</v>
      </c>
      <c r="F3" s="3" t="s">
        <v>54</v>
      </c>
      <c r="G3" s="3" t="s">
        <v>55</v>
      </c>
    </row>
    <row r="4" customFormat="false" ht="15" hidden="false" customHeight="false" outlineLevel="0" collapsed="false">
      <c r="A4" s="14" t="s">
        <v>56</v>
      </c>
      <c r="B4" s="15"/>
      <c r="C4" s="15"/>
      <c r="D4" s="15"/>
      <c r="E4" s="15"/>
      <c r="F4" s="15"/>
      <c r="G4" s="15"/>
    </row>
    <row r="5" customFormat="false" ht="15" hidden="false" customHeight="false" outlineLevel="0" collapsed="false">
      <c r="A5" s="16" t="s">
        <v>57</v>
      </c>
      <c r="B5" s="5" t="n">
        <f aca="false">Assumptions!D6</f>
        <v>1200</v>
      </c>
      <c r="C5" s="22" t="n">
        <f aca="false">ROUND(B5*(1+Assumptions!D7),0)</f>
        <v>1680</v>
      </c>
      <c r="D5" s="22" t="n">
        <f aca="false">ROUND(C5*(1+Assumptions!D7),0)</f>
        <v>2352</v>
      </c>
      <c r="E5" s="22" t="n">
        <f aca="false">ROUND(D5*(1+Assumptions!D7),0)</f>
        <v>3293</v>
      </c>
      <c r="F5" s="22" t="n">
        <f aca="false">ROUND(E5*(1+Assumptions!D7),0)</f>
        <v>4610</v>
      </c>
      <c r="G5" s="22" t="n">
        <f aca="false">ROUND(F5*(1+Assumptions!D7),0)</f>
        <v>6454</v>
      </c>
    </row>
    <row r="6" customFormat="false" ht="15" hidden="false" customHeight="false" outlineLevel="0" collapsed="false">
      <c r="A6" s="16" t="s">
        <v>20</v>
      </c>
      <c r="B6" s="23" t="n">
        <f aca="false">Assumptions!D8</f>
        <v>2.5</v>
      </c>
      <c r="C6" s="23" t="n">
        <f aca="false">Assumptions!D8</f>
        <v>2.5</v>
      </c>
      <c r="D6" s="23" t="n">
        <f aca="false">Assumptions!D8</f>
        <v>2.5</v>
      </c>
      <c r="E6" s="23" t="n">
        <f aca="false">Assumptions!D8</f>
        <v>2.5</v>
      </c>
      <c r="F6" s="23" t="n">
        <f aca="false">Assumptions!D8</f>
        <v>2.5</v>
      </c>
      <c r="G6" s="23" t="n">
        <f aca="false">Assumptions!D8</f>
        <v>2.5</v>
      </c>
    </row>
    <row r="7" customFormat="false" ht="15" hidden="false" customHeight="false" outlineLevel="0" collapsed="false">
      <c r="A7" s="16" t="s">
        <v>58</v>
      </c>
      <c r="B7" s="22" t="n">
        <f aca="false">B5*B6</f>
        <v>3000</v>
      </c>
      <c r="C7" s="22" t="n">
        <f aca="false">C5*C6</f>
        <v>4200</v>
      </c>
      <c r="D7" s="22" t="n">
        <f aca="false">D5*D6</f>
        <v>5880</v>
      </c>
      <c r="E7" s="22" t="n">
        <f aca="false">E5*E6</f>
        <v>8232.5</v>
      </c>
      <c r="F7" s="22" t="n">
        <f aca="false">F5*F6</f>
        <v>11525</v>
      </c>
      <c r="G7" s="22" t="n">
        <f aca="false">G5*G6</f>
        <v>16135</v>
      </c>
    </row>
    <row r="8" customFormat="false" ht="15" hidden="false" customHeight="false" outlineLevel="0" collapsed="false">
      <c r="A8" s="16" t="s">
        <v>22</v>
      </c>
      <c r="B8" s="23" t="n">
        <f aca="false">Assumptions!D9</f>
        <v>2.5</v>
      </c>
      <c r="C8" s="23" t="n">
        <f aca="false">Assumptions!D9</f>
        <v>2.5</v>
      </c>
      <c r="D8" s="23" t="n">
        <f aca="false">Assumptions!D9</f>
        <v>2.5</v>
      </c>
      <c r="E8" s="23" t="n">
        <f aca="false">Assumptions!D9</f>
        <v>2.5</v>
      </c>
      <c r="F8" s="23" t="n">
        <f aca="false">Assumptions!D9</f>
        <v>2.5</v>
      </c>
      <c r="G8" s="23" t="n">
        <f aca="false">Assumptions!D9</f>
        <v>2.5</v>
      </c>
    </row>
    <row r="9" customFormat="false" ht="15" hidden="false" customHeight="false" outlineLevel="0" collapsed="false">
      <c r="A9" s="16" t="s">
        <v>59</v>
      </c>
      <c r="B9" s="22" t="n">
        <f aca="false">MIN(B7*B8, B5*Assumptions!D15)</f>
        <v>3600</v>
      </c>
      <c r="C9" s="22" t="n">
        <f aca="false">MIN(C7*C8, C5*Assumptions!D15)</f>
        <v>5040</v>
      </c>
      <c r="D9" s="22" t="n">
        <f aca="false">MIN(D7*D8, D5*Assumptions!D15)</f>
        <v>7056</v>
      </c>
      <c r="E9" s="22" t="n">
        <f aca="false">MIN(E7*E8, E5*Assumptions!D15)</f>
        <v>9879</v>
      </c>
      <c r="F9" s="22" t="n">
        <f aca="false">MIN(F7*F8, F5*Assumptions!D15)</f>
        <v>13830</v>
      </c>
      <c r="G9" s="22" t="n">
        <f aca="false">MIN(G7*G8, G5*Assumptions!D15)</f>
        <v>19362</v>
      </c>
    </row>
    <row r="11" customFormat="false" ht="15" hidden="false" customHeight="false" outlineLevel="0" collapsed="false">
      <c r="A11" s="14" t="s">
        <v>60</v>
      </c>
      <c r="B11" s="15"/>
      <c r="C11" s="15"/>
      <c r="D11" s="15"/>
      <c r="E11" s="15"/>
      <c r="F11" s="15"/>
      <c r="G11" s="15"/>
    </row>
    <row r="12" customFormat="false" ht="15" hidden="false" customHeight="false" outlineLevel="0" collapsed="false">
      <c r="A12" s="16" t="s">
        <v>25</v>
      </c>
      <c r="B12" s="10" t="n">
        <f aca="false">Assumptions!D12</f>
        <v>0.7</v>
      </c>
      <c r="C12" s="10" t="n">
        <f aca="false">Assumptions!D12</f>
        <v>0.7</v>
      </c>
      <c r="D12" s="10" t="n">
        <f aca="false">Assumptions!D12</f>
        <v>0.7</v>
      </c>
      <c r="E12" s="10" t="n">
        <f aca="false">Assumptions!D12</f>
        <v>0.7</v>
      </c>
      <c r="F12" s="10" t="n">
        <f aca="false">Assumptions!D12</f>
        <v>0.7</v>
      </c>
      <c r="G12" s="10" t="n">
        <f aca="false">Assumptions!D12</f>
        <v>0.7</v>
      </c>
    </row>
    <row r="13" customFormat="false" ht="15" hidden="false" customHeight="false" outlineLevel="0" collapsed="false">
      <c r="A13" s="16" t="s">
        <v>61</v>
      </c>
      <c r="B13" s="22" t="n">
        <f aca="false">ROUND(B9*B12,0)</f>
        <v>2520</v>
      </c>
      <c r="C13" s="22" t="n">
        <f aca="false">ROUND(C9*C12,0)</f>
        <v>3528</v>
      </c>
      <c r="D13" s="22" t="n">
        <f aca="false">ROUND(D9*D12,0)</f>
        <v>4939</v>
      </c>
      <c r="E13" s="22" t="n">
        <f aca="false">ROUND(E9*E12,0)</f>
        <v>6915</v>
      </c>
      <c r="F13" s="22" t="n">
        <f aca="false">ROUND(F9*F12,0)</f>
        <v>9681</v>
      </c>
      <c r="G13" s="22" t="n">
        <f aca="false">ROUND(G9*G12,0)</f>
        <v>13553</v>
      </c>
    </row>
    <row r="14" customFormat="false" ht="15" hidden="false" customHeight="false" outlineLevel="0" collapsed="false">
      <c r="A14" s="16" t="s">
        <v>62</v>
      </c>
      <c r="B14" s="24" t="n">
        <f aca="false">Assumptions!D13</f>
        <v>0.45</v>
      </c>
      <c r="C14" s="24" t="n">
        <f aca="false">Assumptions!D13</f>
        <v>0.45</v>
      </c>
      <c r="D14" s="24" t="n">
        <f aca="false">Assumptions!D13</f>
        <v>0.45</v>
      </c>
      <c r="E14" s="24" t="n">
        <f aca="false">Assumptions!D13</f>
        <v>0.45</v>
      </c>
      <c r="F14" s="24" t="n">
        <f aca="false">Assumptions!D13</f>
        <v>0.45</v>
      </c>
      <c r="G14" s="24" t="n">
        <f aca="false">Assumptions!D13</f>
        <v>0.45</v>
      </c>
    </row>
    <row r="15" customFormat="false" ht="15" hidden="false" customHeight="false" outlineLevel="0" collapsed="false">
      <c r="A15" s="16" t="s">
        <v>63</v>
      </c>
      <c r="B15" s="25" t="n">
        <f aca="false">B13*B14</f>
        <v>1134</v>
      </c>
      <c r="C15" s="25" t="n">
        <f aca="false">C13*C14</f>
        <v>1587.6</v>
      </c>
      <c r="D15" s="25" t="n">
        <f aca="false">D13*D14</f>
        <v>2222.55</v>
      </c>
      <c r="E15" s="25" t="n">
        <f aca="false">E13*E14</f>
        <v>3111.75</v>
      </c>
      <c r="F15" s="25" t="n">
        <f aca="false">F13*F14</f>
        <v>4356.45</v>
      </c>
      <c r="G15" s="25" t="n">
        <f aca="false">G13*G14</f>
        <v>6098.85</v>
      </c>
    </row>
    <row r="16" customFormat="false" ht="15" hidden="false" customHeight="false" outlineLevel="0" collapsed="false">
      <c r="A16" s="6" t="s">
        <v>64</v>
      </c>
      <c r="B16" s="26" t="n">
        <f aca="false">ROUND(B15*30,0)</f>
        <v>34020</v>
      </c>
      <c r="C16" s="26" t="n">
        <f aca="false">ROUND(C15*30,0)</f>
        <v>47628</v>
      </c>
      <c r="D16" s="26" t="n">
        <f aca="false">ROUND(D15*30,0)</f>
        <v>66677</v>
      </c>
      <c r="E16" s="26" t="n">
        <f aca="false">ROUND(E15*30,0)</f>
        <v>93353</v>
      </c>
      <c r="F16" s="26" t="n">
        <f aca="false">ROUND(F15*30,0)</f>
        <v>130694</v>
      </c>
      <c r="G16" s="26" t="n">
        <f aca="false">ROUND(G15*30,0)</f>
        <v>182966</v>
      </c>
    </row>
    <row r="18" customFormat="false" ht="15" hidden="false" customHeight="false" outlineLevel="0" collapsed="false">
      <c r="A18" s="14" t="s">
        <v>65</v>
      </c>
      <c r="B18" s="15"/>
      <c r="C18" s="15"/>
      <c r="D18" s="15"/>
      <c r="E18" s="15"/>
      <c r="F18" s="15"/>
      <c r="G18" s="15"/>
    </row>
    <row r="19" customFormat="false" ht="15" hidden="false" customHeight="false" outlineLevel="0" collapsed="false">
      <c r="A19" s="16" t="s">
        <v>48</v>
      </c>
      <c r="B19" s="8" t="n">
        <f aca="false">Assumptions!D25</f>
        <v>2203</v>
      </c>
      <c r="C19" s="8" t="n">
        <f aca="false">Assumptions!D25</f>
        <v>2203</v>
      </c>
      <c r="D19" s="8" t="n">
        <f aca="false">Assumptions!D25</f>
        <v>2203</v>
      </c>
      <c r="E19" s="8" t="n">
        <f aca="false">Assumptions!D25</f>
        <v>2203</v>
      </c>
      <c r="F19" s="8" t="n">
        <f aca="false">Assumptions!D25</f>
        <v>2203</v>
      </c>
      <c r="G19" s="8" t="n">
        <f aca="false">Assumptions!D25</f>
        <v>2203</v>
      </c>
    </row>
    <row r="21" customFormat="false" ht="15" hidden="false" customHeight="false" outlineLevel="0" collapsed="false">
      <c r="A21" s="14" t="s">
        <v>66</v>
      </c>
      <c r="B21" s="15"/>
      <c r="C21" s="15"/>
      <c r="D21" s="15"/>
      <c r="E21" s="15"/>
      <c r="F21" s="15"/>
      <c r="G21" s="15"/>
    </row>
    <row r="22" customFormat="false" ht="15" hidden="false" customHeight="false" outlineLevel="0" collapsed="false">
      <c r="A22" s="6" t="s">
        <v>67</v>
      </c>
      <c r="B22" s="27" t="n">
        <f aca="false">B16-B19</f>
        <v>31817</v>
      </c>
      <c r="C22" s="27" t="n">
        <f aca="false">C16-C19</f>
        <v>45425</v>
      </c>
      <c r="D22" s="27" t="n">
        <f aca="false">D16-D19</f>
        <v>64474</v>
      </c>
      <c r="E22" s="27" t="n">
        <f aca="false">E16-E19</f>
        <v>91150</v>
      </c>
      <c r="F22" s="27" t="n">
        <f aca="false">F16-F19</f>
        <v>128491</v>
      </c>
      <c r="G22" s="27" t="n">
        <f aca="false">G16-G19</f>
        <v>180763</v>
      </c>
    </row>
    <row r="23" customFormat="false" ht="15" hidden="false" customHeight="false" outlineLevel="0" collapsed="false">
      <c r="A23" s="6" t="s">
        <v>68</v>
      </c>
      <c r="B23" s="28" t="n">
        <f aca="false">B22</f>
        <v>31817</v>
      </c>
      <c r="C23" s="28" t="n">
        <f aca="false">B23+C22</f>
        <v>77242</v>
      </c>
      <c r="D23" s="28" t="n">
        <f aca="false">C23+D22</f>
        <v>141716</v>
      </c>
      <c r="E23" s="28" t="n">
        <f aca="false">D23+E22</f>
        <v>232866</v>
      </c>
      <c r="F23" s="28" t="n">
        <f aca="false">E23+F22</f>
        <v>361357</v>
      </c>
      <c r="G23" s="28" t="n">
        <f aca="false">F23+G22</f>
        <v>542120</v>
      </c>
    </row>
    <row r="24" customFormat="false" ht="15" hidden="false" customHeight="false" outlineLevel="0" collapsed="false">
      <c r="A24" s="16" t="s">
        <v>69</v>
      </c>
      <c r="B24" s="29" t="n">
        <f aca="false">IF(B16=0,0,B22/B16)</f>
        <v>0.935243974132863</v>
      </c>
      <c r="C24" s="29" t="n">
        <f aca="false">IF(C16=0,0,C22/C16)</f>
        <v>0.953745695809188</v>
      </c>
      <c r="D24" s="29" t="n">
        <f aca="false">IF(D16=0,0,D22/D16)</f>
        <v>0.966960121181217</v>
      </c>
      <c r="E24" s="29" t="n">
        <f aca="false">IF(E16=0,0,E22/E16)</f>
        <v>0.976401401133333</v>
      </c>
      <c r="F24" s="29" t="n">
        <f aca="false">IF(F16=0,0,F22/F16)</f>
        <v>0.983143832157559</v>
      </c>
      <c r="G24" s="29" t="n">
        <f aca="false">IF(G16=0,0,G22/G16)</f>
        <v>0.987959511603249</v>
      </c>
    </row>
    <row r="26" customFormat="false" ht="15" hidden="false" customHeight="false" outlineLevel="0" collapsed="false">
      <c r="A26" s="14" t="s">
        <v>70</v>
      </c>
      <c r="B26" s="15"/>
      <c r="C26" s="15"/>
      <c r="D26" s="15"/>
      <c r="E26" s="15"/>
      <c r="F26" s="15"/>
      <c r="G26" s="15"/>
    </row>
    <row r="27" customFormat="false" ht="15" hidden="false" customHeight="false" outlineLevel="0" collapsed="false">
      <c r="A27" s="6" t="s">
        <v>71</v>
      </c>
      <c r="B27" s="11" t="str">
        <f aca="false">IF(B16&gt;=10000,"YES","No")</f>
        <v>YES</v>
      </c>
      <c r="C27" s="11" t="str">
        <f aca="false">IF(C16&gt;=10000,"YES","No")</f>
        <v>YES</v>
      </c>
      <c r="D27" s="11" t="str">
        <f aca="false">IF(D16&gt;=10000,"YES","No")</f>
        <v>YES</v>
      </c>
      <c r="E27" s="11" t="str">
        <f aca="false">IF(E16&gt;=10000,"YES","No")</f>
        <v>YES</v>
      </c>
      <c r="F27" s="11" t="str">
        <f aca="false">IF(F16&gt;=10000,"YES","No")</f>
        <v>YES</v>
      </c>
      <c r="G27" s="11" t="str">
        <f aca="false">IF(G16&gt;=10000,"YES","No")</f>
        <v>YES</v>
      </c>
    </row>
    <row r="28" customFormat="false" ht="15" hidden="false" customHeight="false" outlineLevel="0" collapsed="false">
      <c r="A28" s="16" t="s">
        <v>72</v>
      </c>
      <c r="B28" s="30" t="n">
        <f aca="false">B16*12</f>
        <v>408240</v>
      </c>
      <c r="C28" s="30" t="n">
        <f aca="false">C16*12</f>
        <v>571536</v>
      </c>
      <c r="D28" s="30" t="n">
        <f aca="false">D16*12</f>
        <v>800124</v>
      </c>
      <c r="E28" s="30" t="n">
        <f aca="false">E16*12</f>
        <v>1120236</v>
      </c>
      <c r="F28" s="30" t="n">
        <f aca="false">F16*12</f>
        <v>1568328</v>
      </c>
      <c r="G28" s="30" t="n">
        <f aca="false">G16*12</f>
        <v>2195592</v>
      </c>
    </row>
    <row r="29" customFormat="false" ht="15" hidden="false" customHeight="false" outlineLevel="0" collapsed="false">
      <c r="A29" s="16" t="s">
        <v>73</v>
      </c>
      <c r="B29" s="22" t="n">
        <f aca="false">B13*30</f>
        <v>75600</v>
      </c>
      <c r="C29" s="22" t="n">
        <f aca="false">C13*30</f>
        <v>105840</v>
      </c>
      <c r="D29" s="22" t="n">
        <f aca="false">D13*30</f>
        <v>148170</v>
      </c>
      <c r="E29" s="22" t="n">
        <f aca="false">E13*30</f>
        <v>207450</v>
      </c>
      <c r="F29" s="22" t="n">
        <f aca="false">F13*30</f>
        <v>290430</v>
      </c>
      <c r="G29" s="22" t="n">
        <f aca="false">G13*30</f>
        <v>406590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2026-05-10T16:18:24Z</dcterms:created>
  <dc:creator>openpyxl</dc:creator>
  <dc:description/>
  <dc:language>en-US</dc:language>
  <cp:lastModifiedBy/>
  <dcterms:modified xsi:type="dcterms:W3CDTF">2026-05-10T16:18:24Z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